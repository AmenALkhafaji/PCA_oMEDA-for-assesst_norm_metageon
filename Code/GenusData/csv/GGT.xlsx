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<sst xmlns="http://schemas.openxmlformats.org/spreadsheetml/2006/main" count="36" uniqueCount="35">
  <si>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Bifidobacterium</t>
  </si>
  <si>
    <t>Butyricimonas</t>
  </si>
  <si>
    <t>Odoribacter</t>
  </si>
  <si>
    <t>Paraprevotella</t>
  </si>
  <si>
    <t>Bacteroides</t>
  </si>
  <si>
    <t>Parabacteroides</t>
  </si>
  <si>
    <t>Prevotella</t>
  </si>
  <si>
    <t>Unknown1</t>
  </si>
  <si>
    <t>Unknown2</t>
  </si>
  <si>
    <t>Unknown3</t>
  </si>
  <si>
    <t>Clostridium</t>
  </si>
  <si>
    <t>Unknown4</t>
  </si>
  <si>
    <t>Unknown5</t>
  </si>
  <si>
    <t>Ruminococcus</t>
  </si>
  <si>
    <t>Anaerostipes</t>
  </si>
  <si>
    <t>Blautia</t>
  </si>
  <si>
    <t>Coprococcus</t>
  </si>
  <si>
    <t>Dorea</t>
  </si>
  <si>
    <t>Lachnospira</t>
  </si>
  <si>
    <t>Roseburia</t>
  </si>
  <si>
    <t>Unknown6</t>
  </si>
  <si>
    <t>Unknown7</t>
  </si>
  <si>
    <t>Unknown8</t>
  </si>
  <si>
    <t>Unknown9</t>
  </si>
  <si>
    <t>Faecalibacterium</t>
  </si>
  <si>
    <t>Oscillospira</t>
  </si>
  <si>
    <t>Dialister</t>
  </si>
  <si>
    <t>Unknown10</t>
  </si>
  <si>
    <t>Unknown11</t>
  </si>
  <si>
    <t>Unknown12</t>
  </si>
  <si>
    <t>Sutterella</t>
  </si>
  <si>
    <t>Escherichia</t>
  </si>
  <si>
    <t>Klebsiella</t>
  </si>
  <si>
    <t>Haemophilus</t>
  </si>
  <si>
    <t>Akkermansia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</si>
</sst>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2" fontId="0" fillId="0" borderId="0" xfId="0" applyNumberFormat="1" applyFill="1" applyAlignment="1"/>
    <xf numFmtId="178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topLeftCell="A31" workbookViewId="0">
      <selection activeCell="D1" sqref="D1:D36"/>
    </sheetView>
  </sheetViews>
  <sheetFormatPr defaultColWidth="8.72727272727273" defaultRowHeight="14.5" outlineLevelCol="3"/>
  <sheetData>
    <row r="1" s="1" customFormat="1" spans="1:4">
      <c r="A1" s="1" t="s">
        <v>0</v>
      </c>
      <c r="B1" s="2">
        <v>0.151241066397794</v>
      </c>
      <c r="C1" s="1">
        <v>0.38</v>
      </c>
      <c r="D1" s="2">
        <f>ROUND(C1-B1,2)</f>
        <v>0.23</v>
      </c>
    </row>
    <row r="2" s="1" customFormat="1" spans="1:4">
      <c r="A2" s="1" t="s">
        <v>1</v>
      </c>
      <c r="B2" s="3">
        <v>0.551585065686071</v>
      </c>
      <c r="C2" s="1">
        <v>0.6</v>
      </c>
      <c r="D2" s="2">
        <f t="shared" ref="D2:D36" si="0">ROUND(C2-B2,2)</f>
        <v>0.05</v>
      </c>
    </row>
    <row r="3" s="1" customFormat="1" spans="1:4">
      <c r="A3" s="1" t="s">
        <v>2</v>
      </c>
      <c r="B3" s="3">
        <v>1.4946175973429</v>
      </c>
      <c r="C3" s="1">
        <v>1.5</v>
      </c>
      <c r="D3" s="2">
        <f t="shared" si="0"/>
        <v>0.01</v>
      </c>
    </row>
    <row r="4" s="1" customFormat="1" spans="1:4">
      <c r="A4" s="1" t="s">
        <v>3</v>
      </c>
      <c r="B4" s="3">
        <v>1.58951395272975</v>
      </c>
      <c r="C4" s="1">
        <v>0</v>
      </c>
      <c r="D4" s="2">
        <f t="shared" si="0"/>
        <v>-1.59</v>
      </c>
    </row>
    <row r="5" s="1" customFormat="1" spans="1:4">
      <c r="A5" s="1" t="s">
        <v>4</v>
      </c>
      <c r="B5" s="3">
        <v>12.182319622787</v>
      </c>
      <c r="C5" s="1">
        <v>26</v>
      </c>
      <c r="D5" s="2">
        <f t="shared" si="0"/>
        <v>13.82</v>
      </c>
    </row>
    <row r="6" s="1" customFormat="1" spans="1:4">
      <c r="A6" s="1" t="s">
        <v>5</v>
      </c>
      <c r="B6" s="3">
        <v>4.07461225942291</v>
      </c>
      <c r="C6" s="1">
        <v>0.01</v>
      </c>
      <c r="D6" s="2">
        <f t="shared" si="0"/>
        <v>-4.06</v>
      </c>
    </row>
    <row r="7" s="1" customFormat="1" spans="1:4">
      <c r="A7" s="1" t="s">
        <v>6</v>
      </c>
      <c r="B7" s="3">
        <v>30.7909018119273</v>
      </c>
      <c r="C7" s="1">
        <v>0.02</v>
      </c>
      <c r="D7" s="2">
        <f t="shared" si="0"/>
        <v>-30.77</v>
      </c>
    </row>
    <row r="8" s="1" customFormat="1" spans="1:4">
      <c r="A8" s="1" t="s">
        <v>7</v>
      </c>
      <c r="B8" s="3">
        <v>2.2686159959669</v>
      </c>
      <c r="C8" s="1">
        <v>11</v>
      </c>
      <c r="D8" s="2">
        <f t="shared" si="0"/>
        <v>8.73</v>
      </c>
    </row>
    <row r="9" s="1" customFormat="1" spans="1:4">
      <c r="A9" s="1" t="s">
        <v>8</v>
      </c>
      <c r="B9" s="2">
        <v>0.139379021974437</v>
      </c>
      <c r="C9" s="1">
        <v>0.7</v>
      </c>
      <c r="D9" s="2">
        <f t="shared" si="0"/>
        <v>0.56</v>
      </c>
    </row>
    <row r="10" s="1" customFormat="1" spans="1:4">
      <c r="A10" s="1" t="s">
        <v>9</v>
      </c>
      <c r="B10" s="2">
        <v>1.20696302007651</v>
      </c>
      <c r="C10" s="1">
        <v>1</v>
      </c>
      <c r="D10" s="2">
        <f t="shared" si="0"/>
        <v>-0.21</v>
      </c>
    </row>
    <row r="11" s="1" customFormat="1" spans="1:4">
      <c r="A11" s="1" t="s">
        <v>10</v>
      </c>
      <c r="B11" s="2">
        <v>0.180896177456185</v>
      </c>
      <c r="C11" s="1">
        <v>0.14</v>
      </c>
      <c r="D11" s="2">
        <f t="shared" si="0"/>
        <v>-0.04</v>
      </c>
    </row>
    <row r="12" s="1" customFormat="1" spans="1:4">
      <c r="A12" s="1" t="s">
        <v>11</v>
      </c>
      <c r="B12" s="2">
        <v>0.320275199430622</v>
      </c>
      <c r="C12" s="1">
        <v>1</v>
      </c>
      <c r="D12" s="2">
        <f t="shared" si="0"/>
        <v>0.68</v>
      </c>
    </row>
    <row r="13" s="1" customFormat="1" spans="1:4">
      <c r="A13" s="1" t="s">
        <v>12</v>
      </c>
      <c r="B13" s="2">
        <v>3.31247590522227</v>
      </c>
      <c r="C13" s="1">
        <v>0.15</v>
      </c>
      <c r="D13" s="2">
        <f t="shared" si="0"/>
        <v>-3.16</v>
      </c>
    </row>
    <row r="14" s="1" customFormat="1" spans="1:4">
      <c r="A14" s="1" t="s">
        <v>13</v>
      </c>
      <c r="B14" s="2">
        <v>0.625722843332048</v>
      </c>
      <c r="C14" s="1">
        <v>0.3</v>
      </c>
      <c r="D14" s="2">
        <f t="shared" si="0"/>
        <v>-0.33</v>
      </c>
    </row>
    <row r="15" s="1" customFormat="1" spans="1:4">
      <c r="A15" s="1" t="s">
        <v>14</v>
      </c>
      <c r="B15" s="2">
        <v>0.171999644138667</v>
      </c>
      <c r="C15" s="1">
        <v>0</v>
      </c>
      <c r="D15" s="2">
        <f t="shared" si="0"/>
        <v>-0.17</v>
      </c>
    </row>
    <row r="16" s="1" customFormat="1" spans="1:4">
      <c r="A16" s="1" t="s">
        <v>15</v>
      </c>
      <c r="B16" s="2">
        <v>0.335102754959817</v>
      </c>
      <c r="C16" s="1">
        <v>0.3</v>
      </c>
      <c r="D16" s="2">
        <f t="shared" si="0"/>
        <v>-0.04</v>
      </c>
    </row>
    <row r="17" s="1" customFormat="1" spans="1:4">
      <c r="A17" s="1" t="s">
        <v>16</v>
      </c>
      <c r="B17" s="2">
        <v>1.07648053141959</v>
      </c>
      <c r="C17" s="2">
        <v>3</v>
      </c>
      <c r="D17" s="2">
        <f t="shared" si="0"/>
        <v>1.92</v>
      </c>
    </row>
    <row r="18" s="1" customFormat="1" spans="1:4">
      <c r="A18" s="1" t="s">
        <v>17</v>
      </c>
      <c r="B18" s="2">
        <v>0.136413510868598</v>
      </c>
      <c r="C18" s="1">
        <v>0.14</v>
      </c>
      <c r="D18" s="2">
        <f t="shared" si="0"/>
        <v>0</v>
      </c>
    </row>
    <row r="19" s="1" customFormat="1" spans="1:4">
      <c r="A19" s="1" t="s">
        <v>18</v>
      </c>
      <c r="B19" s="2">
        <v>2.15296106283918</v>
      </c>
      <c r="C19" s="1">
        <v>0.02</v>
      </c>
      <c r="D19" s="2">
        <f t="shared" si="0"/>
        <v>-2.13</v>
      </c>
    </row>
    <row r="20" s="1" customFormat="1" spans="1:4">
      <c r="A20" s="1" t="s">
        <v>19</v>
      </c>
      <c r="B20" s="2">
        <v>2.37240888467127</v>
      </c>
      <c r="C20" s="1">
        <v>0.5</v>
      </c>
      <c r="D20" s="2">
        <f t="shared" si="0"/>
        <v>-1.87</v>
      </c>
    </row>
    <row r="21" s="1" customFormat="1" spans="1:4">
      <c r="A21" s="1" t="s">
        <v>20</v>
      </c>
      <c r="B21" s="2">
        <v>0.03262062216423</v>
      </c>
      <c r="C21" s="1">
        <v>1</v>
      </c>
      <c r="D21" s="2">
        <f t="shared" si="0"/>
        <v>0.97</v>
      </c>
    </row>
    <row r="22" s="1" customFormat="1" spans="1:4">
      <c r="A22" s="1" t="s">
        <v>21</v>
      </c>
      <c r="B22" s="2">
        <v>0.468550754722576</v>
      </c>
      <c r="C22" s="1">
        <v>0.14</v>
      </c>
      <c r="D22" s="2">
        <f t="shared" si="0"/>
        <v>-0.33</v>
      </c>
    </row>
    <row r="23" s="1" customFormat="1" spans="1:4">
      <c r="A23" s="1" t="s">
        <v>22</v>
      </c>
      <c r="B23" s="2">
        <v>0.335102754959817</v>
      </c>
      <c r="C23" s="1">
        <v>2</v>
      </c>
      <c r="D23" s="2">
        <f t="shared" si="0"/>
        <v>1.66</v>
      </c>
    </row>
    <row r="24" s="1" customFormat="1" spans="1:4">
      <c r="A24" s="1" t="s">
        <v>23</v>
      </c>
      <c r="B24" s="2">
        <v>5.46247145695561</v>
      </c>
      <c r="C24" s="1">
        <v>4.8</v>
      </c>
      <c r="D24" s="2">
        <f t="shared" si="0"/>
        <v>-0.66</v>
      </c>
    </row>
    <row r="25" s="1" customFormat="1" spans="1:4">
      <c r="A25" s="1" t="s">
        <v>24</v>
      </c>
      <c r="B25" s="2">
        <v>3.47557901604342</v>
      </c>
      <c r="C25" s="1">
        <v>0</v>
      </c>
      <c r="D25" s="2">
        <f t="shared" si="0"/>
        <v>-3.48</v>
      </c>
    </row>
    <row r="26" s="1" customFormat="1" spans="1:4">
      <c r="A26" s="1" t="s">
        <v>25</v>
      </c>
      <c r="B26" s="2">
        <v>6.42329705524747</v>
      </c>
      <c r="C26" s="1">
        <v>0.2</v>
      </c>
      <c r="D26" s="2">
        <f t="shared" si="0"/>
        <v>-6.22</v>
      </c>
    </row>
    <row r="27" s="1" customFormat="1" spans="1:4">
      <c r="A27" s="1" t="s">
        <v>13</v>
      </c>
      <c r="B27" s="2">
        <v>4.24661190356158</v>
      </c>
      <c r="C27" s="1">
        <v>0.05</v>
      </c>
      <c r="D27" s="2">
        <f t="shared" si="0"/>
        <v>-4.2</v>
      </c>
    </row>
    <row r="28" s="1" customFormat="1" spans="1:4">
      <c r="A28" s="1" t="s">
        <v>26</v>
      </c>
      <c r="B28" s="2">
        <v>2.80537350612378</v>
      </c>
      <c r="C28" s="1">
        <v>5</v>
      </c>
      <c r="D28" s="2">
        <f t="shared" si="0"/>
        <v>2.19</v>
      </c>
    </row>
    <row r="29" s="1" customFormat="1" spans="1:4">
      <c r="A29" s="1" t="s">
        <v>27</v>
      </c>
      <c r="B29" s="2">
        <v>0.364757866018208</v>
      </c>
      <c r="C29" s="1">
        <v>3</v>
      </c>
      <c r="D29" s="2">
        <f t="shared" si="0"/>
        <v>2.64</v>
      </c>
    </row>
    <row r="30" s="1" customFormat="1" spans="1:4">
      <c r="A30" s="1" t="s">
        <v>28</v>
      </c>
      <c r="B30" s="2">
        <v>1.01717030930281</v>
      </c>
      <c r="C30" s="1">
        <v>2.7</v>
      </c>
      <c r="D30" s="2">
        <f t="shared" si="0"/>
        <v>1.68</v>
      </c>
    </row>
    <row r="31" s="1" customFormat="1" spans="1:4">
      <c r="A31" s="1" t="s">
        <v>29</v>
      </c>
      <c r="B31" s="2">
        <v>0.827377598529106</v>
      </c>
      <c r="C31" s="1">
        <v>0.8</v>
      </c>
      <c r="D31" s="2">
        <f t="shared" si="0"/>
        <v>-0.03</v>
      </c>
    </row>
    <row r="32" s="1" customFormat="1" spans="1:4">
      <c r="A32" s="1" t="s">
        <v>30</v>
      </c>
      <c r="B32" s="2">
        <v>1.79709973013849</v>
      </c>
      <c r="C32" s="1">
        <v>8</v>
      </c>
      <c r="D32" s="2">
        <f t="shared" si="0"/>
        <v>6.2</v>
      </c>
    </row>
    <row r="33" s="1" customFormat="1" spans="1:4">
      <c r="A33" s="1" t="s">
        <v>31</v>
      </c>
      <c r="B33" s="2">
        <v>0.305447643901426</v>
      </c>
      <c r="C33" s="1">
        <v>0.22</v>
      </c>
      <c r="D33" s="2">
        <f t="shared" si="0"/>
        <v>-0.09</v>
      </c>
    </row>
    <row r="34" s="1" customFormat="1" spans="1:4">
      <c r="A34" s="1" t="s">
        <v>32</v>
      </c>
      <c r="B34" s="2">
        <v>0</v>
      </c>
      <c r="C34" s="1">
        <v>0</v>
      </c>
      <c r="D34" s="2">
        <f t="shared" si="0"/>
        <v>0</v>
      </c>
    </row>
    <row r="35" s="1" customFormat="1" spans="1:4">
      <c r="A35" s="1" t="s">
        <v>33</v>
      </c>
      <c r="B35" s="2">
        <v>0.169034133032828</v>
      </c>
      <c r="C35" s="2">
        <v>0.311378666113105</v>
      </c>
      <c r="D35" s="2">
        <f t="shared" si="0"/>
        <v>0.14</v>
      </c>
    </row>
    <row r="36" s="1" customFormat="1" spans="1:4">
      <c r="A36" s="1" t="s">
        <v>34</v>
      </c>
      <c r="B36" s="3">
        <v>7.09053705406127</v>
      </c>
      <c r="C36" s="1">
        <v>1.23</v>
      </c>
      <c r="D36" s="2">
        <f t="shared" si="0"/>
        <v>-5.86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AL-GHADIR</dc:creator>
  <cp:lastModifiedBy>AL-GHADIR</cp:lastModifiedBy>
  <dcterms:created xsi:type="dcterms:W3CDTF">2025-03-18T13:57:00Z</dcterms:created>
  <dcterms:modified xsi:type="dcterms:W3CDTF">2025-03-18T15:00:58Z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A787836E37204051A94C7F5133D0C8C0_11</vt:lpwstr>
  </property>
  <property fmtid="{D5CDD505-2E9C-101B-9397-08002B2CF9AE}" pid="3" name="KSOProductBuildVer">
    <vt:lpwstr>1033-12.2.0.20326</vt:lpwstr>
  </property>
</Properties>
</file>